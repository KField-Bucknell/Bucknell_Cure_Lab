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kfield/Documents/Bucknell_Cure_Lab/Grade Outcomes/"/>
    </mc:Choice>
  </mc:AlternateContent>
  <xr:revisionPtr revIDLastSave="0" documentId="8_{80E8C628-C2AA-C74A-916C-AE59C34F5996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ummary Pivot" sheetId="1" r:id="rId1"/>
    <sheet name="forImport" sheetId="2" r:id="rId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2" l="1"/>
  <c r="S5" i="2"/>
  <c r="R5" i="2"/>
  <c r="Q5" i="2"/>
  <c r="P5" i="2"/>
  <c r="O5" i="2"/>
  <c r="N5" i="2"/>
  <c r="M5" i="2"/>
  <c r="L5" i="2"/>
  <c r="K5" i="2"/>
  <c r="J5" i="2"/>
  <c r="I5" i="2"/>
  <c r="T4" i="2"/>
  <c r="S4" i="2"/>
  <c r="R4" i="2"/>
  <c r="Q4" i="2"/>
  <c r="P4" i="2"/>
  <c r="O4" i="2"/>
  <c r="N4" i="2"/>
  <c r="M4" i="2"/>
  <c r="L4" i="2"/>
  <c r="K4" i="2"/>
  <c r="J4" i="2"/>
  <c r="I4" i="2"/>
  <c r="T3" i="2"/>
  <c r="S3" i="2"/>
  <c r="R3" i="2"/>
  <c r="Q3" i="2"/>
  <c r="P3" i="2"/>
  <c r="O3" i="2"/>
  <c r="M3" i="2"/>
  <c r="L3" i="2"/>
  <c r="K3" i="2"/>
  <c r="J3" i="2"/>
  <c r="I3" i="2"/>
  <c r="T2" i="2"/>
  <c r="S2" i="2"/>
  <c r="R2" i="2"/>
  <c r="Q2" i="2"/>
  <c r="P2" i="2"/>
  <c r="O2" i="2"/>
  <c r="N2" i="2"/>
  <c r="M2" i="2"/>
  <c r="L2" i="2"/>
  <c r="K2" i="2"/>
  <c r="J2" i="2"/>
  <c r="I2" i="2"/>
  <c r="D5" i="2"/>
  <c r="E5" i="2"/>
  <c r="F5" i="2"/>
  <c r="G5" i="2"/>
  <c r="H5" i="2"/>
  <c r="C5" i="2"/>
  <c r="D4" i="2"/>
  <c r="E4" i="2"/>
  <c r="F4" i="2"/>
  <c r="G4" i="2"/>
  <c r="H4" i="2"/>
  <c r="C4" i="2"/>
  <c r="N3" i="2"/>
  <c r="D3" i="2"/>
  <c r="E3" i="2"/>
  <c r="F3" i="2"/>
  <c r="G3" i="2"/>
  <c r="H3" i="2"/>
  <c r="C3" i="2"/>
  <c r="D2" i="2"/>
  <c r="E2" i="2"/>
  <c r="F2" i="2"/>
  <c r="G2" i="2"/>
  <c r="H2" i="2"/>
  <c r="C2" i="2"/>
</calcChain>
</file>

<file path=xl/sharedStrings.xml><?xml version="1.0" encoding="utf-8"?>
<sst xmlns="http://schemas.openxmlformats.org/spreadsheetml/2006/main" count="73" uniqueCount="43">
  <si>
    <t>D</t>
  </si>
  <si>
    <t>F</t>
  </si>
  <si>
    <t>W</t>
  </si>
  <si>
    <t>Male</t>
  </si>
  <si>
    <t>Female</t>
  </si>
  <si>
    <t>BIOL201</t>
  </si>
  <si>
    <t>Biology Inquiry &amp; Observation</t>
  </si>
  <si>
    <r>
      <rPr>
        <sz val="8"/>
        <color rgb="FF333333"/>
        <rFont val="Arial"/>
        <family val="2"/>
      </rPr>
      <t>Fall Term 2021-2022</t>
    </r>
    <r>
      <rPr>
        <sz val="8"/>
        <color rgb="FF333333"/>
        <rFont val="Arial"/>
        <family val="2"/>
      </rPr>
      <t>BIOL201</t>
    </r>
  </si>
  <si>
    <t>Asian</t>
  </si>
  <si>
    <t>Black/African American</t>
  </si>
  <si>
    <t>Hispanic/Latino</t>
  </si>
  <si>
    <t>Multiple Races</t>
  </si>
  <si>
    <t>U.S. Nonresident</t>
  </si>
  <si>
    <t>White</t>
  </si>
  <si>
    <t>Total</t>
  </si>
  <si>
    <r>
      <rPr>
        <sz val="8"/>
        <color rgb="FF333333"/>
        <rFont val="Arial"/>
        <family val="2"/>
      </rPr>
      <t>Spring Term 2021-2022</t>
    </r>
    <r>
      <rPr>
        <sz val="8"/>
        <color rgb="FF333333"/>
        <rFont val="Arial"/>
        <family val="2"/>
      </rPr>
      <t>BIOL201</t>
    </r>
  </si>
  <si>
    <t>BIOL202</t>
  </si>
  <si>
    <t>CURE Lab</t>
  </si>
  <si>
    <r>
      <rPr>
        <sz val="8"/>
        <color rgb="FF333333"/>
        <rFont val="Arial"/>
        <family val="2"/>
      </rPr>
      <t>Fall Term 2021-2022</t>
    </r>
    <r>
      <rPr>
        <sz val="8"/>
        <color rgb="FF333333"/>
        <rFont val="Arial"/>
        <family val="2"/>
      </rPr>
      <t>BIOL202</t>
    </r>
  </si>
  <si>
    <r>
      <rPr>
        <sz val="8"/>
        <color rgb="FF333333"/>
        <rFont val="Arial"/>
        <family val="2"/>
      </rPr>
      <t>Spring Term 2021-2022</t>
    </r>
    <r>
      <rPr>
        <sz val="8"/>
        <color rgb="FF333333"/>
        <rFont val="Arial"/>
        <family val="2"/>
      </rPr>
      <t>BIOL202</t>
    </r>
  </si>
  <si>
    <t>Totals</t>
  </si>
  <si>
    <t>Course</t>
  </si>
  <si>
    <t>Semester</t>
  </si>
  <si>
    <t>Fall 2021</t>
  </si>
  <si>
    <t>Spring 2022</t>
  </si>
  <si>
    <t>D_Male_White</t>
  </si>
  <si>
    <t>F_Female_White</t>
  </si>
  <si>
    <t>W_Female_White</t>
  </si>
  <si>
    <t>W_Male_White</t>
  </si>
  <si>
    <t>D_Male_nonWhite</t>
  </si>
  <si>
    <t>F_Female_nonWhite</t>
  </si>
  <si>
    <t>W_Female_nonWhite</t>
  </si>
  <si>
    <t>W_Male_nonWhite</t>
  </si>
  <si>
    <t>Female_Total_White</t>
  </si>
  <si>
    <t>Male_Total_White</t>
  </si>
  <si>
    <t>Female_Total_nonWhite</t>
  </si>
  <si>
    <t>Male_Total_nonWhite</t>
  </si>
  <si>
    <t>D_Male_Asian</t>
  </si>
  <si>
    <t>F_Female_Asian</t>
  </si>
  <si>
    <t>W_Female_Asian</t>
  </si>
  <si>
    <t>W_Male_Asian</t>
  </si>
  <si>
    <t>Female_Total_Asian</t>
  </si>
  <si>
    <t>Male_Total_Asian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</si>
</sst>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Tahoma"/>
      <family val="2"/>
    </font>
    <font>
      <sz val="8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31455E"/>
      <name val="Arial"/>
      <family val="2"/>
    </font>
    <font>
      <b/>
      <sz val="8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BDDAF3"/>
      </patternFill>
    </fill>
    <fill>
      <patternFill patternType="solid">
        <fgColor rgb="FFEFF3F7"/>
      </patternFill>
    </fill>
  </fills>
  <borders count="11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E1E6EC"/>
      </left>
      <right style="medium">
        <color rgb="FFE1E6EC"/>
      </right>
      <top/>
      <bottom style="medium">
        <color rgb="FFE1E6E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0" fillId="0" borderId="8" xfId="0" applyBorder="1"/>
    <xf numFmtId="3" fontId="4" fillId="0" borderId="8" xfId="0" applyNumberFormat="1" applyFont="1" applyBorder="1" applyAlignment="1">
      <alignment horizontal="right" vertical="top"/>
    </xf>
    <xf numFmtId="0" fontId="5" fillId="3" borderId="9" xfId="0" applyFont="1" applyFill="1" applyBorder="1" applyAlignment="1">
      <alignment horizontal="left" vertical="top"/>
    </xf>
    <xf numFmtId="0" fontId="0" fillId="4" borderId="10" xfId="0" applyFill="1" applyBorder="1"/>
    <xf numFmtId="3" fontId="6" fillId="4" borderId="10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/>
    <xf numFmtId="0" fontId="0" fillId="0" borderId="0" xfId="0"/>
    <xf numFmtId="0" fontId="3" fillId="2" borderId="4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opLeftCell="A13" zoomScale="200" zoomScaleNormal="200" workbookViewId="0">
      <selection activeCell="E27" sqref="E27"/>
    </sheetView>
  </sheetViews>
  <sheetFormatPr baseColWidth="10" defaultColWidth="9" defaultRowHeight="12.75" customHeight="1" x14ac:dyDescent="0.15"/>
  <cols>
    <col min="1" max="1" width="6.796875" bestFit="1" customWidth="1"/>
    <col min="2" max="2" width="21.796875" bestFit="1" customWidth="1"/>
    <col min="3" max="3" width="23.3984375" bestFit="1" customWidth="1"/>
    <col min="4" max="4" width="17.59765625" bestFit="1" customWidth="1"/>
    <col min="5" max="5" width="4.19921875" bestFit="1" customWidth="1"/>
    <col min="6" max="7" width="5.796875" bestFit="1" customWidth="1"/>
    <col min="8" max="8" width="4.19921875" bestFit="1" customWidth="1"/>
    <col min="9" max="9" width="5.796875" bestFit="1" customWidth="1"/>
    <col min="10" max="10" width="5.19921875" bestFit="1" customWidth="1"/>
  </cols>
  <sheetData>
    <row r="1" spans="1:10" ht="14" thickBot="1" x14ac:dyDescent="0.2">
      <c r="A1" s="15"/>
      <c r="B1" s="12"/>
      <c r="C1" s="12"/>
      <c r="D1" s="12"/>
      <c r="E1" s="16" t="s">
        <v>0</v>
      </c>
      <c r="F1" s="16" t="s">
        <v>1</v>
      </c>
      <c r="G1" s="16" t="s">
        <v>2</v>
      </c>
      <c r="H1" s="17"/>
      <c r="I1" s="8" t="s">
        <v>4</v>
      </c>
      <c r="J1" s="8" t="s">
        <v>3</v>
      </c>
    </row>
    <row r="2" spans="1:10" ht="14" thickBot="1" x14ac:dyDescent="0.2">
      <c r="A2" s="12"/>
      <c r="B2" s="12"/>
      <c r="C2" s="12"/>
      <c r="D2" s="12"/>
      <c r="E2" s="11"/>
      <c r="F2" s="11"/>
      <c r="G2" s="18"/>
      <c r="H2" s="19"/>
      <c r="I2" s="9"/>
      <c r="J2" s="9"/>
    </row>
    <row r="3" spans="1:10" ht="14" thickBot="1" x14ac:dyDescent="0.2">
      <c r="A3" s="12"/>
      <c r="B3" s="12"/>
      <c r="C3" s="12"/>
      <c r="D3" s="12"/>
      <c r="E3" s="14" t="s">
        <v>3</v>
      </c>
      <c r="F3" s="14" t="s">
        <v>4</v>
      </c>
      <c r="G3" s="14" t="s">
        <v>4</v>
      </c>
      <c r="H3" s="14" t="s">
        <v>3</v>
      </c>
      <c r="I3" s="10" t="s">
        <v>20</v>
      </c>
      <c r="J3" s="10" t="s">
        <v>20</v>
      </c>
    </row>
    <row r="4" spans="1:10" ht="14" thickBot="1" x14ac:dyDescent="0.2">
      <c r="A4" s="12"/>
      <c r="B4" s="12"/>
      <c r="C4" s="12"/>
      <c r="D4" s="12"/>
      <c r="E4" s="11"/>
      <c r="F4" s="11"/>
      <c r="G4" s="11"/>
      <c r="H4" s="11"/>
      <c r="I4" s="11"/>
      <c r="J4" s="11"/>
    </row>
    <row r="5" spans="1:10" ht="14" thickBot="1" x14ac:dyDescent="0.2">
      <c r="A5" s="13" t="s">
        <v>5</v>
      </c>
      <c r="B5" s="13" t="s">
        <v>6</v>
      </c>
      <c r="C5" s="13" t="s">
        <v>7</v>
      </c>
      <c r="D5" s="2" t="s">
        <v>8</v>
      </c>
      <c r="E5" s="3"/>
      <c r="F5" s="3"/>
      <c r="G5" s="3"/>
      <c r="H5" s="3"/>
      <c r="I5" s="4">
        <v>3</v>
      </c>
      <c r="J5" s="4">
        <v>1</v>
      </c>
    </row>
    <row r="6" spans="1:10" ht="14" thickBot="1" x14ac:dyDescent="0.2">
      <c r="A6" s="9"/>
      <c r="B6" s="9"/>
      <c r="C6" s="9"/>
      <c r="D6" s="1" t="s">
        <v>9</v>
      </c>
      <c r="E6" s="4">
        <v>1</v>
      </c>
      <c r="F6" s="3"/>
      <c r="G6" s="3"/>
      <c r="H6" s="3"/>
      <c r="I6" s="4">
        <v>1</v>
      </c>
      <c r="J6" s="4">
        <v>3</v>
      </c>
    </row>
    <row r="7" spans="1:10" ht="14" thickBot="1" x14ac:dyDescent="0.2">
      <c r="A7" s="9"/>
      <c r="B7" s="9"/>
      <c r="C7" s="9"/>
      <c r="D7" s="1" t="s">
        <v>10</v>
      </c>
      <c r="E7" s="3"/>
      <c r="F7" s="4">
        <v>1</v>
      </c>
      <c r="G7" s="3"/>
      <c r="H7" s="4">
        <v>1</v>
      </c>
      <c r="I7" s="4">
        <v>7</v>
      </c>
      <c r="J7" s="4">
        <v>2</v>
      </c>
    </row>
    <row r="8" spans="1:10" ht="14" thickBot="1" x14ac:dyDescent="0.2">
      <c r="A8" s="9"/>
      <c r="B8" s="9"/>
      <c r="C8" s="9"/>
      <c r="D8" s="1" t="s">
        <v>11</v>
      </c>
      <c r="E8" s="3"/>
      <c r="F8" s="3"/>
      <c r="G8" s="4">
        <v>1</v>
      </c>
      <c r="H8" s="3"/>
      <c r="I8" s="4">
        <v>3</v>
      </c>
      <c r="J8" s="4">
        <v>1</v>
      </c>
    </row>
    <row r="9" spans="1:10" ht="14" thickBot="1" x14ac:dyDescent="0.2">
      <c r="A9" s="9"/>
      <c r="B9" s="9"/>
      <c r="C9" s="9"/>
      <c r="D9" s="1" t="s">
        <v>12</v>
      </c>
      <c r="E9" s="3"/>
      <c r="F9" s="3"/>
      <c r="G9" s="3"/>
      <c r="H9" s="3"/>
      <c r="I9" s="4">
        <v>1</v>
      </c>
      <c r="J9" s="3"/>
    </row>
    <row r="10" spans="1:10" ht="14" thickBot="1" x14ac:dyDescent="0.2">
      <c r="A10" s="9"/>
      <c r="B10" s="9"/>
      <c r="C10" s="9"/>
      <c r="D10" s="1" t="s">
        <v>13</v>
      </c>
      <c r="E10" s="3"/>
      <c r="F10" s="4">
        <v>2</v>
      </c>
      <c r="G10" s="3"/>
      <c r="H10" s="4">
        <v>2</v>
      </c>
      <c r="I10" s="4">
        <v>65</v>
      </c>
      <c r="J10" s="4">
        <v>19</v>
      </c>
    </row>
    <row r="11" spans="1:10" ht="14" thickBot="1" x14ac:dyDescent="0.2">
      <c r="A11" s="9"/>
      <c r="B11" s="9"/>
      <c r="C11" s="11"/>
      <c r="D11" s="5" t="s">
        <v>14</v>
      </c>
      <c r="E11" s="7">
        <v>1</v>
      </c>
      <c r="F11" s="7">
        <v>3</v>
      </c>
      <c r="G11" s="7">
        <v>1</v>
      </c>
      <c r="H11" s="7">
        <v>3</v>
      </c>
      <c r="I11" s="7">
        <v>80</v>
      </c>
      <c r="J11" s="7">
        <v>26</v>
      </c>
    </row>
    <row r="12" spans="1:10" ht="14" thickBot="1" x14ac:dyDescent="0.2">
      <c r="A12" s="9"/>
      <c r="B12" s="9"/>
      <c r="C12" s="14" t="s">
        <v>15</v>
      </c>
      <c r="D12" s="1" t="s">
        <v>8</v>
      </c>
      <c r="E12" s="3"/>
      <c r="F12" s="3"/>
      <c r="G12" s="3"/>
      <c r="H12" s="3"/>
      <c r="I12" s="4">
        <v>5</v>
      </c>
      <c r="J12" s="4">
        <v>3</v>
      </c>
    </row>
    <row r="13" spans="1:10" ht="14" thickBot="1" x14ac:dyDescent="0.2">
      <c r="A13" s="9"/>
      <c r="B13" s="9"/>
      <c r="C13" s="9"/>
      <c r="D13" s="1" t="s">
        <v>9</v>
      </c>
      <c r="E13" s="3"/>
      <c r="F13" s="3"/>
      <c r="G13" s="3"/>
      <c r="H13" s="3"/>
      <c r="I13" s="4">
        <v>3</v>
      </c>
      <c r="J13" s="3"/>
    </row>
    <row r="14" spans="1:10" ht="14" thickBot="1" x14ac:dyDescent="0.2">
      <c r="A14" s="9"/>
      <c r="B14" s="9"/>
      <c r="C14" s="9"/>
      <c r="D14" s="1" t="s">
        <v>10</v>
      </c>
      <c r="E14" s="3"/>
      <c r="F14" s="3"/>
      <c r="G14" s="3"/>
      <c r="H14" s="3"/>
      <c r="I14" s="3"/>
      <c r="J14" s="4">
        <v>1</v>
      </c>
    </row>
    <row r="15" spans="1:10" ht="14" thickBot="1" x14ac:dyDescent="0.2">
      <c r="A15" s="9"/>
      <c r="B15" s="9"/>
      <c r="C15" s="9"/>
      <c r="D15" s="1" t="s">
        <v>11</v>
      </c>
      <c r="E15" s="3"/>
      <c r="F15" s="3"/>
      <c r="G15" s="3"/>
      <c r="H15" s="3"/>
      <c r="I15" s="4">
        <v>2</v>
      </c>
      <c r="J15" s="3"/>
    </row>
    <row r="16" spans="1:10" ht="14" thickBot="1" x14ac:dyDescent="0.2">
      <c r="A16" s="9"/>
      <c r="B16" s="9"/>
      <c r="C16" s="9"/>
      <c r="D16" s="1" t="s">
        <v>12</v>
      </c>
      <c r="E16" s="3"/>
      <c r="F16" s="3"/>
      <c r="G16" s="3"/>
      <c r="H16" s="3"/>
      <c r="I16" s="4">
        <v>1</v>
      </c>
      <c r="J16" s="3"/>
    </row>
    <row r="17" spans="1:10" ht="14" thickBot="1" x14ac:dyDescent="0.2">
      <c r="A17" s="9"/>
      <c r="B17" s="9"/>
      <c r="C17" s="9"/>
      <c r="D17" s="1" t="s">
        <v>13</v>
      </c>
      <c r="E17" s="3"/>
      <c r="F17" s="3"/>
      <c r="G17" s="3"/>
      <c r="H17" s="3"/>
      <c r="I17" s="4">
        <v>35</v>
      </c>
      <c r="J17" s="4">
        <v>17</v>
      </c>
    </row>
    <row r="18" spans="1:10" ht="14" thickBot="1" x14ac:dyDescent="0.2">
      <c r="A18" s="11"/>
      <c r="B18" s="11"/>
      <c r="C18" s="11"/>
      <c r="D18" s="5" t="s">
        <v>14</v>
      </c>
      <c r="E18" s="6"/>
      <c r="F18" s="6"/>
      <c r="G18" s="6"/>
      <c r="H18" s="6"/>
      <c r="I18" s="7">
        <v>46</v>
      </c>
      <c r="J18" s="7">
        <v>21</v>
      </c>
    </row>
    <row r="19" spans="1:10" ht="14" thickBot="1" x14ac:dyDescent="0.2">
      <c r="A19" s="14" t="s">
        <v>16</v>
      </c>
      <c r="B19" s="14" t="s">
        <v>17</v>
      </c>
      <c r="C19" s="14" t="s">
        <v>18</v>
      </c>
      <c r="D19" s="1" t="s">
        <v>8</v>
      </c>
      <c r="E19" s="3"/>
      <c r="F19" s="3"/>
      <c r="G19" s="3"/>
      <c r="H19" s="4">
        <v>1</v>
      </c>
      <c r="I19" s="4">
        <v>4</v>
      </c>
      <c r="J19" s="4">
        <v>3</v>
      </c>
    </row>
    <row r="20" spans="1:10" ht="14" thickBot="1" x14ac:dyDescent="0.2">
      <c r="A20" s="9"/>
      <c r="B20" s="9"/>
      <c r="C20" s="9"/>
      <c r="D20" s="1" t="s">
        <v>9</v>
      </c>
      <c r="E20" s="3"/>
      <c r="F20" s="3"/>
      <c r="G20" s="3"/>
      <c r="H20" s="3"/>
      <c r="I20" s="4">
        <v>1</v>
      </c>
      <c r="J20" s="3"/>
    </row>
    <row r="21" spans="1:10" ht="14" thickBot="1" x14ac:dyDescent="0.2">
      <c r="A21" s="9"/>
      <c r="B21" s="9"/>
      <c r="C21" s="9"/>
      <c r="D21" s="1" t="s">
        <v>11</v>
      </c>
      <c r="E21" s="3"/>
      <c r="F21" s="3"/>
      <c r="G21" s="3"/>
      <c r="H21" s="3"/>
      <c r="I21" s="4">
        <v>2</v>
      </c>
      <c r="J21" s="3"/>
    </row>
    <row r="22" spans="1:10" ht="14" thickBot="1" x14ac:dyDescent="0.2">
      <c r="A22" s="9"/>
      <c r="B22" s="9"/>
      <c r="C22" s="9"/>
      <c r="D22" s="1" t="s">
        <v>12</v>
      </c>
      <c r="E22" s="3"/>
      <c r="F22" s="3"/>
      <c r="G22" s="3"/>
      <c r="H22" s="3"/>
      <c r="I22" s="4">
        <v>1</v>
      </c>
      <c r="J22" s="3"/>
    </row>
    <row r="23" spans="1:10" ht="14" thickBot="1" x14ac:dyDescent="0.2">
      <c r="A23" s="9"/>
      <c r="B23" s="9"/>
      <c r="C23" s="9"/>
      <c r="D23" s="1" t="s">
        <v>13</v>
      </c>
      <c r="E23" s="3"/>
      <c r="F23" s="3"/>
      <c r="G23" s="3"/>
      <c r="H23" s="3"/>
      <c r="I23" s="4">
        <v>25</v>
      </c>
      <c r="J23" s="4">
        <v>7</v>
      </c>
    </row>
    <row r="24" spans="1:10" ht="14" thickBot="1" x14ac:dyDescent="0.2">
      <c r="A24" s="9"/>
      <c r="B24" s="9"/>
      <c r="C24" s="11"/>
      <c r="D24" s="5" t="s">
        <v>14</v>
      </c>
      <c r="E24" s="6"/>
      <c r="F24" s="6"/>
      <c r="G24" s="6"/>
      <c r="H24" s="7">
        <v>1</v>
      </c>
      <c r="I24" s="7">
        <v>33</v>
      </c>
      <c r="J24" s="7">
        <v>10</v>
      </c>
    </row>
    <row r="25" spans="1:10" ht="14" thickBot="1" x14ac:dyDescent="0.2">
      <c r="A25" s="9"/>
      <c r="B25" s="9"/>
      <c r="C25" s="14" t="s">
        <v>19</v>
      </c>
      <c r="D25" s="1" t="s">
        <v>8</v>
      </c>
      <c r="E25" s="3"/>
      <c r="F25" s="3"/>
      <c r="G25" s="3"/>
      <c r="H25" s="3"/>
      <c r="I25" s="3"/>
      <c r="J25" s="4">
        <v>1</v>
      </c>
    </row>
    <row r="26" spans="1:10" ht="14" thickBot="1" x14ac:dyDescent="0.2">
      <c r="A26" s="9"/>
      <c r="B26" s="9"/>
      <c r="C26" s="9"/>
      <c r="D26" s="1" t="s">
        <v>9</v>
      </c>
      <c r="E26" s="3"/>
      <c r="F26" s="3"/>
      <c r="G26" s="3"/>
      <c r="H26" s="3"/>
      <c r="I26" s="3"/>
      <c r="J26" s="4">
        <v>1</v>
      </c>
    </row>
    <row r="27" spans="1:10" ht="14" thickBot="1" x14ac:dyDescent="0.2">
      <c r="A27" s="9"/>
      <c r="B27" s="9"/>
      <c r="C27" s="9"/>
      <c r="D27" s="1" t="s">
        <v>10</v>
      </c>
      <c r="E27" s="3"/>
      <c r="F27" s="3"/>
      <c r="G27" s="3"/>
      <c r="H27" s="3"/>
      <c r="I27" s="4">
        <v>5</v>
      </c>
      <c r="J27" s="3"/>
    </row>
    <row r="28" spans="1:10" ht="14" thickBot="1" x14ac:dyDescent="0.2">
      <c r="A28" s="9"/>
      <c r="B28" s="9"/>
      <c r="C28" s="9"/>
      <c r="D28" s="1" t="s">
        <v>12</v>
      </c>
      <c r="E28" s="3"/>
      <c r="F28" s="3"/>
      <c r="G28" s="3"/>
      <c r="H28" s="3"/>
      <c r="I28" s="4">
        <v>2</v>
      </c>
      <c r="J28" s="3"/>
    </row>
    <row r="29" spans="1:10" ht="14" thickBot="1" x14ac:dyDescent="0.2">
      <c r="A29" s="9"/>
      <c r="B29" s="9"/>
      <c r="C29" s="9"/>
      <c r="D29" s="1" t="s">
        <v>13</v>
      </c>
      <c r="E29" s="3"/>
      <c r="F29" s="3"/>
      <c r="G29" s="3"/>
      <c r="H29" s="3"/>
      <c r="I29" s="4">
        <v>40</v>
      </c>
      <c r="J29" s="4">
        <v>12</v>
      </c>
    </row>
    <row r="30" spans="1:10" ht="14" thickBot="1" x14ac:dyDescent="0.2">
      <c r="A30" s="11"/>
      <c r="B30" s="11"/>
      <c r="C30" s="11"/>
      <c r="D30" s="5" t="s">
        <v>14</v>
      </c>
      <c r="E30" s="6"/>
      <c r="F30" s="6"/>
      <c r="G30" s="6"/>
      <c r="H30" s="6"/>
      <c r="I30" s="7">
        <v>47</v>
      </c>
      <c r="J30" s="7">
        <v>14</v>
      </c>
    </row>
    <row r="31" spans="1:10" ht="12.75" customHeight="1" x14ac:dyDescent="0.15">
      <c r="A31" s="12"/>
      <c r="B31" s="12"/>
      <c r="C31" s="12"/>
      <c r="D31" s="12"/>
      <c r="E31" s="12"/>
      <c r="F31" s="12"/>
      <c r="G31" s="12"/>
      <c r="H31" s="12"/>
      <c r="I31" s="12"/>
      <c r="J31" s="12"/>
    </row>
  </sheetData>
  <mergeCells count="21">
    <mergeCell ref="G1:H2"/>
    <mergeCell ref="E3:E4"/>
    <mergeCell ref="F3:F4"/>
    <mergeCell ref="G3:G4"/>
    <mergeCell ref="H3:H4"/>
    <mergeCell ref="I1:I2"/>
    <mergeCell ref="I3:I4"/>
    <mergeCell ref="J1:J2"/>
    <mergeCell ref="J3:J4"/>
    <mergeCell ref="A31:J31"/>
    <mergeCell ref="A5:A18"/>
    <mergeCell ref="B5:B18"/>
    <mergeCell ref="C5:C11"/>
    <mergeCell ref="C12:C18"/>
    <mergeCell ref="A19:A30"/>
    <mergeCell ref="B19:B30"/>
    <mergeCell ref="C19:C24"/>
    <mergeCell ref="C25:C30"/>
    <mergeCell ref="A1:D4"/>
    <mergeCell ref="E1:E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C59A-F2D6-8B4A-8985-BA762D80E2E8}">
  <dimension ref="A1:T5"/>
  <sheetViews>
    <sheetView tabSelected="1" workbookViewId="0">
      <selection activeCell="T6" sqref="T6"/>
    </sheetView>
  </sheetViews>
  <sheetFormatPr baseColWidth="10" defaultRowHeight="13" x14ac:dyDescent="0.15"/>
  <sheetData>
    <row r="1" spans="1:20" x14ac:dyDescent="0.15">
      <c r="A1" t="s">
        <v>21</v>
      </c>
      <c r="B1" t="s">
        <v>22</v>
      </c>
      <c r="C1" t="s">
        <v>25</v>
      </c>
      <c r="D1" t="s">
        <v>26</v>
      </c>
      <c r="E1" t="s">
        <v>27</v>
      </c>
      <c r="F1" t="s">
        <v>28</v>
      </c>
      <c r="G1" t="s">
        <v>33</v>
      </c>
      <c r="H1" t="s">
        <v>34</v>
      </c>
      <c r="I1" t="s">
        <v>29</v>
      </c>
      <c r="J1" t="s">
        <v>30</v>
      </c>
      <c r="K1" t="s">
        <v>31</v>
      </c>
      <c r="L1" t="s">
        <v>32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15">
      <c r="A2" t="s">
        <v>5</v>
      </c>
      <c r="B2" t="s">
        <v>23</v>
      </c>
      <c r="C2">
        <f>SUM('Summary Pivot'!E10)</f>
        <v>0</v>
      </c>
      <c r="D2">
        <f>SUM('Summary Pivot'!F10)</f>
        <v>2</v>
      </c>
      <c r="E2">
        <f>SUM('Summary Pivot'!G10)</f>
        <v>0</v>
      </c>
      <c r="F2">
        <f>SUM('Summary Pivot'!H10)</f>
        <v>2</v>
      </c>
      <c r="G2">
        <f>SUM('Summary Pivot'!I10)</f>
        <v>65</v>
      </c>
      <c r="H2">
        <f>SUM('Summary Pivot'!J10)</f>
        <v>19</v>
      </c>
      <c r="I2" s="20">
        <f>SUM('Summary Pivot'!E6:E8)</f>
        <v>1</v>
      </c>
      <c r="J2">
        <f>SUM('Summary Pivot'!F6:F8)</f>
        <v>1</v>
      </c>
      <c r="K2">
        <f>SUM('Summary Pivot'!G6:G8)</f>
        <v>1</v>
      </c>
      <c r="L2">
        <f>SUM('Summary Pivot'!H6:H8)</f>
        <v>1</v>
      </c>
      <c r="M2" s="20">
        <f>SUM('Summary Pivot'!I6:I8)</f>
        <v>11</v>
      </c>
      <c r="N2" s="20">
        <f>SUM('Summary Pivot'!J6:J8)</f>
        <v>6</v>
      </c>
      <c r="O2">
        <f>SUM('Summary Pivot'!E5)</f>
        <v>0</v>
      </c>
      <c r="P2">
        <f>SUM('Summary Pivot'!F5)</f>
        <v>0</v>
      </c>
      <c r="Q2">
        <f>SUM('Summary Pivot'!G5)</f>
        <v>0</v>
      </c>
      <c r="R2">
        <f>SUM('Summary Pivot'!H5)</f>
        <v>0</v>
      </c>
      <c r="S2" s="20">
        <f>SUM('Summary Pivot'!I5)</f>
        <v>3</v>
      </c>
      <c r="T2" s="20">
        <f>SUM('Summary Pivot'!J5)</f>
        <v>1</v>
      </c>
    </row>
    <row r="3" spans="1:20" x14ac:dyDescent="0.15">
      <c r="A3" t="s">
        <v>5</v>
      </c>
      <c r="B3" t="s">
        <v>24</v>
      </c>
      <c r="C3">
        <f>SUM('Summary Pivot'!E17)</f>
        <v>0</v>
      </c>
      <c r="D3">
        <f>SUM('Summary Pivot'!F17)</f>
        <v>0</v>
      </c>
      <c r="E3">
        <f>SUM('Summary Pivot'!G17)</f>
        <v>0</v>
      </c>
      <c r="F3">
        <f>SUM('Summary Pivot'!H17)</f>
        <v>0</v>
      </c>
      <c r="G3">
        <f>SUM('Summary Pivot'!I17)</f>
        <v>35</v>
      </c>
      <c r="H3">
        <f>SUM('Summary Pivot'!J17)</f>
        <v>17</v>
      </c>
      <c r="I3">
        <f>SUM('Summary Pivot'!E13:E16)</f>
        <v>0</v>
      </c>
      <c r="J3">
        <f>SUM('Summary Pivot'!F13:F16)</f>
        <v>0</v>
      </c>
      <c r="K3">
        <f>SUM('Summary Pivot'!G13:G16)</f>
        <v>0</v>
      </c>
      <c r="L3">
        <f>SUM('Summary Pivot'!H13:H16)</f>
        <v>0</v>
      </c>
      <c r="M3" s="20">
        <f>SUM('Summary Pivot'!I13:I16)</f>
        <v>6</v>
      </c>
      <c r="N3">
        <f>SUM('Summary Pivot'!J12:J17)</f>
        <v>21</v>
      </c>
      <c r="O3">
        <f>SUM('Summary Pivot'!E12)</f>
        <v>0</v>
      </c>
      <c r="P3">
        <f>SUM('Summary Pivot'!F12)</f>
        <v>0</v>
      </c>
      <c r="Q3">
        <f>SUM('Summary Pivot'!G12)</f>
        <v>0</v>
      </c>
      <c r="R3">
        <f>SUM('Summary Pivot'!H12)</f>
        <v>0</v>
      </c>
      <c r="S3" s="20">
        <f>SUM('Summary Pivot'!I12)</f>
        <v>5</v>
      </c>
      <c r="T3" s="20">
        <f>SUM('Summary Pivot'!J12)</f>
        <v>3</v>
      </c>
    </row>
    <row r="4" spans="1:20" x14ac:dyDescent="0.15">
      <c r="A4" t="s">
        <v>16</v>
      </c>
      <c r="B4" t="s">
        <v>23</v>
      </c>
      <c r="C4">
        <f>SUM('Summary Pivot'!E23)</f>
        <v>0</v>
      </c>
      <c r="D4">
        <f>SUM('Summary Pivot'!F23)</f>
        <v>0</v>
      </c>
      <c r="E4">
        <f>SUM('Summary Pivot'!G23)</f>
        <v>0</v>
      </c>
      <c r="F4">
        <f>SUM('Summary Pivot'!H23)</f>
        <v>0</v>
      </c>
      <c r="G4">
        <f>SUM('Summary Pivot'!I23)</f>
        <v>25</v>
      </c>
      <c r="H4">
        <f>SUM('Summary Pivot'!J23)</f>
        <v>7</v>
      </c>
      <c r="I4">
        <f>SUM('Summary Pivot'!E20:E21)</f>
        <v>0</v>
      </c>
      <c r="J4">
        <f>SUM('Summary Pivot'!F20:F21)</f>
        <v>0</v>
      </c>
      <c r="K4">
        <f>SUM('Summary Pivot'!G20:G21)</f>
        <v>0</v>
      </c>
      <c r="L4">
        <f>SUM('Summary Pivot'!H20:H21)</f>
        <v>0</v>
      </c>
      <c r="M4" s="20">
        <f>SUM('Summary Pivot'!I20:I21)</f>
        <v>3</v>
      </c>
      <c r="N4">
        <f>SUM('Summary Pivot'!J20:J21)</f>
        <v>0</v>
      </c>
      <c r="O4">
        <f>SUM('Summary Pivot'!E19)</f>
        <v>0</v>
      </c>
      <c r="P4">
        <f>SUM('Summary Pivot'!F19)</f>
        <v>0</v>
      </c>
      <c r="Q4">
        <f>SUM('Summary Pivot'!G19)</f>
        <v>0</v>
      </c>
      <c r="R4" s="20">
        <f>SUM('Summary Pivot'!H19)</f>
        <v>1</v>
      </c>
      <c r="S4" s="20">
        <f>SUM('Summary Pivot'!I19)</f>
        <v>4</v>
      </c>
      <c r="T4" s="20">
        <f>SUM('Summary Pivot'!J19)</f>
        <v>3</v>
      </c>
    </row>
    <row r="5" spans="1:20" x14ac:dyDescent="0.15">
      <c r="A5" t="s">
        <v>16</v>
      </c>
      <c r="B5" t="s">
        <v>24</v>
      </c>
      <c r="C5">
        <f>SUM('Summary Pivot'!E29)</f>
        <v>0</v>
      </c>
      <c r="D5">
        <f>SUM('Summary Pivot'!F29)</f>
        <v>0</v>
      </c>
      <c r="E5">
        <f>SUM('Summary Pivot'!G29)</f>
        <v>0</v>
      </c>
      <c r="F5">
        <f>SUM('Summary Pivot'!H29)</f>
        <v>0</v>
      </c>
      <c r="G5">
        <f>SUM('Summary Pivot'!I29)</f>
        <v>40</v>
      </c>
      <c r="H5">
        <f>SUM('Summary Pivot'!J29)</f>
        <v>12</v>
      </c>
      <c r="I5">
        <f>SUM('Summary Pivot'!E26:E27)</f>
        <v>0</v>
      </c>
      <c r="J5">
        <f>SUM('Summary Pivot'!F26:F27)</f>
        <v>0</v>
      </c>
      <c r="K5">
        <f>SUM('Summary Pivot'!G26:G27)</f>
        <v>0</v>
      </c>
      <c r="L5">
        <f>SUM('Summary Pivot'!H26:H27)</f>
        <v>0</v>
      </c>
      <c r="M5">
        <f>SUM('Summary Pivot'!I26:I27)</f>
        <v>5</v>
      </c>
      <c r="N5" s="20">
        <f>SUM('Summary Pivot'!J26:J27)</f>
        <v>1</v>
      </c>
      <c r="O5">
        <f>SUM('Summary Pivot'!E25)</f>
        <v>0</v>
      </c>
      <c r="P5">
        <f>SUM('Summary Pivot'!F25)</f>
        <v>0</v>
      </c>
      <c r="Q5">
        <f>SUM('Summary Pivot'!G25)</f>
        <v>0</v>
      </c>
      <c r="R5" s="20">
        <f>SUM('Summary Pivot'!H25)</f>
        <v>0</v>
      </c>
      <c r="S5" s="20">
        <f>SUM('Summary Pivot'!I25)</f>
        <v>0</v>
      </c>
      <c r="T5" s="20">
        <f>SUM('Summary Pivot'!J25)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Pivot</vt:lpstr>
      <vt:lpstr>forImport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 Kracker</dc:creator>
  <cp:lastModifiedBy>Ken Field</cp:lastModifiedBy>
  <dcterms:created xsi:type="dcterms:W3CDTF">2023-07-07T17:52:44Z</dcterms:created>
  <dcterms:modified xsi:type="dcterms:W3CDTF">2026-07-12T22:35:26Z</dcterms:modified>
</cp:coreProperties>
</file>